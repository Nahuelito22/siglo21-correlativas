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us" sheetId="1" state="visible" r:id="rId3"/>
  </sheets>
  <definedNames>
    <definedName function="false" hidden="true" localSheetId="0" name="_xlnm._FilterDatabase" vbProcedure="false">Status!$A$1:$E$54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C = Cursando
A = Aprobada
E = Eximida</t>
        </r>
      </text>
    </comment>
  </commentList>
</comments>
</file>

<file path=xl/sharedStrings.xml><?xml version="1.0" encoding="utf-8"?>
<sst xmlns="http://schemas.openxmlformats.org/spreadsheetml/2006/main" count="75" uniqueCount="74">
  <si>
    <t xml:space="preserve">id</t>
  </si>
  <si>
    <t xml:space="preserve">Cuatrimestre</t>
  </si>
  <si>
    <t xml:space="preserve">Materia</t>
  </si>
  <si>
    <t xml:space="preserve">Status</t>
  </si>
  <si>
    <t xml:space="preserve">Correlativas</t>
  </si>
  <si>
    <t xml:space="preserve">Final</t>
  </si>
  <si>
    <t xml:space="preserve">Original</t>
  </si>
  <si>
    <t xml:space="preserve">I1</t>
  </si>
  <si>
    <t xml:space="preserve">Aprender en el Siglo 21</t>
  </si>
  <si>
    <t xml:space="preserve">I2</t>
  </si>
  <si>
    <t xml:space="preserve">Tecnología, Humanidades y Modelos Globales</t>
  </si>
  <si>
    <t xml:space="preserve">Álgebra y Geometría.</t>
  </si>
  <si>
    <t xml:space="preserve">A</t>
  </si>
  <si>
    <t xml:space="preserve">A = Aprobado</t>
  </si>
  <si>
    <t xml:space="preserve">Lógica Simbólica.</t>
  </si>
  <si>
    <t xml:space="preserve">E</t>
  </si>
  <si>
    <t xml:space="preserve">E = Eximido</t>
  </si>
  <si>
    <t xml:space="preserve">Introducción a la Ciencia de Datos.</t>
  </si>
  <si>
    <t xml:space="preserve">C</t>
  </si>
  <si>
    <t xml:space="preserve">C = Cursando</t>
  </si>
  <si>
    <t xml:space="preserve">Sistemas de Información.</t>
  </si>
  <si>
    <t xml:space="preserve">P</t>
  </si>
  <si>
    <t xml:space="preserve">P = Pendiente</t>
  </si>
  <si>
    <t xml:space="preserve">Introducción a los Algoritmos.</t>
  </si>
  <si>
    <t xml:space="preserve">Idioma Extranjero I.</t>
  </si>
  <si>
    <t xml:space="preserve">AVANCE</t>
  </si>
  <si>
    <t xml:space="preserve">Análisis Matemático.</t>
  </si>
  <si>
    <t xml:space="preserve">Programación Orientada a Objetos.</t>
  </si>
  <si>
    <t xml:space="preserve">Análisis de Datos.</t>
  </si>
  <si>
    <t xml:space="preserve">Estadística y Probabilidad.</t>
  </si>
  <si>
    <t xml:space="preserve">Base de Datos I.</t>
  </si>
  <si>
    <t xml:space="preserve">Idioma Extranjero II.</t>
  </si>
  <si>
    <t xml:space="preserve">Introducción a Tecnologías de Información y Comunicaciones.</t>
  </si>
  <si>
    <t xml:space="preserve">Algoritmos y Estructuras de Datos I.</t>
  </si>
  <si>
    <t xml:space="preserve">Sistemas Operativos.</t>
  </si>
  <si>
    <t xml:space="preserve">Base de Datos II.</t>
  </si>
  <si>
    <t xml:space="preserve">Innovación Tecnológica.</t>
  </si>
  <si>
    <t xml:space="preserve">Idioma Extranjero III.</t>
  </si>
  <si>
    <t xml:space="preserve">Práctica Solidaria</t>
  </si>
  <si>
    <t xml:space="preserve">Sistemas Operativos Avanzados.</t>
  </si>
  <si>
    <t xml:space="preserve">Algoritmos y Estructuras de Datos II.</t>
  </si>
  <si>
    <t xml:space="preserve">Comunicaciones.</t>
  </si>
  <si>
    <t xml:space="preserve">Programación para Ciencia de Datos.</t>
  </si>
  <si>
    <t xml:space="preserve">Metodología de Análisis de Datos Cuantitativos.</t>
  </si>
  <si>
    <t xml:space="preserve">Idioma Extranjero IV.</t>
  </si>
  <si>
    <t xml:space="preserve">Inteligencia Artificial.</t>
  </si>
  <si>
    <t xml:space="preserve">Legislación de Proyectos Tecnológicos.</t>
  </si>
  <si>
    <t xml:space="preserve">Seguridad Informática.</t>
  </si>
  <si>
    <t xml:space="preserve">Visualización de Datos.</t>
  </si>
  <si>
    <t xml:space="preserve">Ética y Deontología Profesional.</t>
  </si>
  <si>
    <t xml:space="preserve">Idioma Extranjero V</t>
  </si>
  <si>
    <t xml:space="preserve">Herramientas Matemáticas VI - Modelos de Simulación.</t>
  </si>
  <si>
    <t xml:space="preserve">Estrategia.</t>
  </si>
  <si>
    <t xml:space="preserve">Computación en la Nube.</t>
  </si>
  <si>
    <t xml:space="preserve">Grupo y Liderazgo.</t>
  </si>
  <si>
    <t xml:space="preserve">Idioma Extranjero VI.</t>
  </si>
  <si>
    <t xml:space="preserve">Seminario de Práctica en Ciencia de Datos.</t>
  </si>
  <si>
    <t xml:space="preserve">16, 23, 29</t>
  </si>
  <si>
    <t xml:space="preserve">Privacidad y Seguridad de los Datos.</t>
  </si>
  <si>
    <t xml:space="preserve">Aprendizaje Automático.</t>
  </si>
  <si>
    <t xml:space="preserve">23, 26</t>
  </si>
  <si>
    <t xml:space="preserve">Desarrollo Emprendedor.</t>
  </si>
  <si>
    <t xml:space="preserve">Inteligencia de Negocios.</t>
  </si>
  <si>
    <t xml:space="preserve">Oratoria.</t>
  </si>
  <si>
    <t xml:space="preserve">Práctica Profesional en Ciencia de Datos.</t>
  </si>
  <si>
    <t xml:space="preserve">Procesamiento de Lenguaje Natural.</t>
  </si>
  <si>
    <t xml:space="preserve">Metodología de Diseño y Planificación de Proyectos.</t>
  </si>
  <si>
    <t xml:space="preserve">Aprendizaje Profundo.</t>
  </si>
  <si>
    <t xml:space="preserve">Auditoría de Sistemas.</t>
  </si>
  <si>
    <t xml:space="preserve">Emprendimientos Universitarios.</t>
  </si>
  <si>
    <t xml:space="preserve">Seminario Final en Ciencia de Datos.</t>
  </si>
  <si>
    <t xml:space="preserve">37, 43</t>
  </si>
  <si>
    <t xml:space="preserve">Electiva 1</t>
  </si>
  <si>
    <t xml:space="preserve">Electiva 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</si>
</sst>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2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0000"/>
      <name val="Arial"/>
      <family val="2"/>
      <charset val="1"/>
    </font>
    <font>
      <sz val="10"/>
      <color rgb="FF006600"/>
      <name val="Arial"/>
      <family val="2"/>
      <charset val="1"/>
    </font>
    <font>
      <sz val="10"/>
      <color rgb="FF00A933"/>
      <name val="Arial"/>
      <family val="2"/>
      <charset val="1"/>
    </font>
    <font>
      <sz val="10"/>
      <color rgb="FF996600"/>
      <name val="Arial"/>
      <family val="2"/>
      <charset val="1"/>
    </font>
    <font>
      <b val="true"/>
      <sz val="10"/>
      <color theme="0"/>
      <name val="Arial"/>
      <family val="2"/>
      <charset val="1"/>
    </font>
    <font>
      <sz val="11"/>
      <color rgb="FF30303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CCC"/>
        <bgColor rgb="FFCCCCFF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5F5F5"/>
      </patternFill>
    </fill>
    <fill>
      <patternFill patternType="solid">
        <fgColor theme="1" tint="0.4998"/>
        <bgColor rgb="FF969696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2A6099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4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6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9" fillId="7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7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" fillId="3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d 3" xfId="20"/>
    <cellStyle name="Good 1" xfId="21"/>
    <cellStyle name="Green" xfId="22"/>
    <cellStyle name="Neutral 2" xfId="23"/>
  </cellStyles>
  <dxfs count="11">
    <dxf>
      <fill>
        <patternFill patternType="solid">
          <fgColor rgb="FF7F7F7F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0303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Arial"/>
        <charset val="1"/>
        <family val="2"/>
        <color rgb="FF006600"/>
      </font>
      <fill>
        <patternFill>
          <bgColor rgb="FFCCFFCC"/>
        </patternFill>
      </fill>
    </dxf>
    <dxf>
      <font>
        <name val="Arial"/>
        <charset val="1"/>
        <family val="2"/>
        <color rgb="FF006600"/>
      </font>
      <fill>
        <patternFill>
          <bgColor rgb="FFCCFFCC"/>
        </patternFill>
      </fill>
    </dxf>
    <dxf>
      <font>
        <name val="Arial"/>
        <charset val="1"/>
        <family val="2"/>
        <color rgb="FF996600"/>
      </font>
      <fill>
        <patternFill>
          <bgColor rgb="FFFFFFCC"/>
        </patternFill>
      </fill>
    </dxf>
    <dxf>
      <font>
        <name val="Arial"/>
        <charset val="1"/>
        <family val="2"/>
        <b val="1"/>
        <color rgb="FF000000"/>
      </font>
    </dxf>
    <dxf>
      <font>
        <name val="Arial"/>
        <charset val="1"/>
        <family val="2"/>
        <color rgb="FF00A933"/>
      </font>
    </dxf>
    <dxf>
      <font>
        <name val="Arial"/>
        <charset val="1"/>
        <family val="2"/>
        <color rgb="FF000000"/>
      </font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7F7F7F"/>
      <rgbColor rgb="FF9999FF"/>
      <rgbColor rgb="FF993366"/>
      <rgbColor rgb="FFFFFFCC"/>
      <rgbColor rgb="FFF5F5F5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030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M8" activeCellId="0" sqref="M8"/>
    </sheetView>
  </sheetViews>
  <sheetFormatPr defaultColWidth="8.71484375" defaultRowHeight="12.7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.05"/>
    <col collapsed="false" customWidth="true" hidden="false" outlineLevel="0" max="3" min="3" style="1" width="59.1"/>
    <col collapsed="false" customWidth="true" hidden="false" outlineLevel="0" max="4" min="4" style="2" width="12.15"/>
    <col collapsed="false" customWidth="true" hidden="false" outlineLevel="0" max="5" min="5" style="1" width="11.85"/>
    <col collapsed="false" customWidth="false" hidden="true" outlineLevel="0" max="8" min="7" style="1" width="8.71"/>
    <col collapsed="false" customWidth="true" hidden="false" outlineLevel="0" max="10" min="9" style="1" width="11.82"/>
    <col collapsed="false" customWidth="true" hidden="false" outlineLevel="0" max="11" min="11" style="1" width="10.55"/>
    <col collapsed="false" customWidth="true" hidden="false" outlineLevel="0" max="16375" min="16357" style="1" width="11.57"/>
    <col collapsed="false" customWidth="true" hidden="false" outlineLevel="0" max="16383" min="16376" style="0" width="11.53"/>
    <col collapsed="false" customWidth="true" hidden="false" outlineLevel="0" max="16384" min="16384" style="1" width="11.53"/>
  </cols>
  <sheetData>
    <row r="1" customFormat="false" ht="12.75" hidden="false" customHeight="false" outlineLevel="0" collapsed="false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G1" s="1" t="s">
        <v>5</v>
      </c>
      <c r="H1" s="1" t="s">
        <v>6</v>
      </c>
    </row>
    <row r="2" customFormat="false" ht="13.8" hidden="false" customHeight="false" outlineLevel="0" collapsed="false">
      <c r="A2" s="5" t="s">
        <v>7</v>
      </c>
      <c r="B2" s="6" t="n">
        <v>0</v>
      </c>
      <c r="C2" s="5" t="s">
        <v>8</v>
      </c>
      <c r="D2" s="6"/>
      <c r="E2" s="5"/>
      <c r="G2" s="1" t="str">
        <f aca="false">IF(ISERROR(SEARCH(",",E2,1)),_xlfn.SWITCH(IF(ISBLANK(E2),"OK",_xlfn.XLOOKUP(E2,$A$2:$A$54,$D$2:$D$54,"NO",1,1)),"A","OK","E","OK","OK","OK","NO"),"COMMA")</f>
        <v>OK</v>
      </c>
      <c r="H2" s="1" t="str">
        <f aca="false">IF(ISERROR(SEARCH(",",E2,1)),_xlfn.SWITCH(IF(ISBLANK(E2),"OK",_xlfn.XLOOKUP(E2,$A$2:$A$54,$D$2:$D$54,"NO",1,1)),"A","OK","E","OK","OK","OK","NO"),"COMMA")</f>
        <v>OK</v>
      </c>
    </row>
    <row r="3" customFormat="false" ht="13.8" hidden="false" customHeight="false" outlineLevel="0" collapsed="false">
      <c r="A3" s="7" t="s">
        <v>9</v>
      </c>
      <c r="B3" s="8" t="n">
        <v>0</v>
      </c>
      <c r="C3" s="7" t="s">
        <v>10</v>
      </c>
      <c r="D3" s="8"/>
      <c r="E3" s="7"/>
      <c r="G3" s="1" t="str">
        <f aca="false">IF(ISERROR(SEARCH(",",E3,1)),_xlfn.SWITCH(IF(ISBLANK(E3),"OK",_xlfn.XLOOKUP(E3,$A$2:$A$54,$D$2:$D$54,"NO",1,1)),"A","OK","E","OK","OK","OK","NO"),"COMMA")</f>
        <v>OK</v>
      </c>
      <c r="H3" s="1" t="str">
        <f aca="false">IF(ISERROR(SEARCH(",",E3,1)),_xlfn.SWITCH(IF(ISBLANK(E3),"OK",_xlfn.XLOOKUP(E3,$A$2:$A$54,$D$2:$D$54,"NO",1,1)),"A","OK","E","OK","OK","OK","NO"),"COMMA")</f>
        <v>OK</v>
      </c>
    </row>
    <row r="4" customFormat="false" ht="13.8" hidden="false" customHeight="false" outlineLevel="0" collapsed="false">
      <c r="A4" s="5" t="n">
        <v>1</v>
      </c>
      <c r="B4" s="6" t="n">
        <v>1</v>
      </c>
      <c r="C4" s="5" t="s">
        <v>11</v>
      </c>
      <c r="D4" s="6"/>
      <c r="E4" s="5"/>
      <c r="G4" s="1" t="str">
        <f aca="false">IF(ISERROR(SEARCH(",",E4,1)),_xlfn.SWITCH(IF(ISBLANK(E4),"OK",_xlfn.XLOOKUP(E4,$A$2:$A$54,$D$2:$D$54,"NO",1,1)),"A","OK","E","OK","OK","OK","NO"),"COMMA")</f>
        <v>OK</v>
      </c>
      <c r="H4" s="1" t="str">
        <f aca="false">IF(ISERROR(SEARCH(",",E4,1)),_xlfn.SWITCH(IF(ISBLANK(E4),"OK",_xlfn.XLOOKUP(E4,$A$2:$A$54,$D$2:$D$54,"NO",1,1)),"A","OK","E","OK","OK","OK","NO"),"COMMA")</f>
        <v>OK</v>
      </c>
      <c r="J4" s="9" t="s">
        <v>12</v>
      </c>
      <c r="K4" s="10" t="n">
        <f aca="false">COUNTIF($D$2:$D$54,"A")</f>
        <v>0</v>
      </c>
      <c r="M4" s="0" t="s">
        <v>13</v>
      </c>
    </row>
    <row r="5" customFormat="false" ht="13.8" hidden="false" customHeight="false" outlineLevel="0" collapsed="false">
      <c r="A5" s="7" t="n">
        <v>2</v>
      </c>
      <c r="B5" s="8" t="n">
        <v>1</v>
      </c>
      <c r="C5" s="7" t="s">
        <v>14</v>
      </c>
      <c r="D5" s="8"/>
      <c r="E5" s="7"/>
      <c r="G5" s="1" t="str">
        <f aca="false">IF(ISERROR(SEARCH(",",E5,1)),_xlfn.SWITCH(IF(ISBLANK(E5),"OK",_xlfn.XLOOKUP(E5,$A$2:$A$54,$D$2:$D$54,"NO",1,1)),"A","OK","E","OK","OK","OK","NO"),"COMMA")</f>
        <v>OK</v>
      </c>
      <c r="H5" s="1" t="str">
        <f aca="false">IF(ISERROR(SEARCH(",",E5,1)),_xlfn.SWITCH(IF(ISBLANK(E5),"OK",_xlfn.XLOOKUP(E5,$A$2:$A$54,$D$2:$D$54,"NO",1,1)),"A","OK","E","OK","OK","OK","NO"),"COMMA")</f>
        <v>OK</v>
      </c>
      <c r="J5" s="9" t="s">
        <v>15</v>
      </c>
      <c r="K5" s="10" t="n">
        <f aca="false">COUNTIF($D$2:$D$54,"E")</f>
        <v>0</v>
      </c>
      <c r="M5" s="0" t="s">
        <v>16</v>
      </c>
    </row>
    <row r="6" customFormat="false" ht="13.8" hidden="false" customHeight="false" outlineLevel="0" collapsed="false">
      <c r="A6" s="5" t="n">
        <v>3</v>
      </c>
      <c r="B6" s="6" t="n">
        <v>1</v>
      </c>
      <c r="C6" s="5" t="s">
        <v>17</v>
      </c>
      <c r="D6" s="6"/>
      <c r="E6" s="5"/>
      <c r="G6" s="1" t="str">
        <f aca="false">IF(ISERROR(SEARCH(",",E6,1)),_xlfn.SWITCH(IF(ISBLANK(E6),"OK",_xlfn.XLOOKUP(E6,$A$2:$A$54,$D$2:$D$54,"NO",1,1)),"A","OK","E","OK","OK","OK","NO"),"COMMA")</f>
        <v>OK</v>
      </c>
      <c r="H6" s="1" t="str">
        <f aca="false">IF(ISERROR(SEARCH(",",E6,1)),_xlfn.SWITCH(IF(ISBLANK(E6),"OK",_xlfn.XLOOKUP(E6,$A$2:$A$54,$D$2:$D$54,"NO",1,1)),"A","OK","E","OK","OK","OK","NO"),"COMMA")</f>
        <v>OK</v>
      </c>
      <c r="J6" s="11" t="s">
        <v>18</v>
      </c>
      <c r="K6" s="10" t="n">
        <f aca="false">COUNTIF($D$2:$D$54,"C")</f>
        <v>0</v>
      </c>
      <c r="M6" s="0" t="s">
        <v>19</v>
      </c>
    </row>
    <row r="7" customFormat="false" ht="13.8" hidden="false" customHeight="false" outlineLevel="0" collapsed="false">
      <c r="A7" s="7" t="n">
        <v>4</v>
      </c>
      <c r="B7" s="8" t="n">
        <v>1</v>
      </c>
      <c r="C7" s="7" t="s">
        <v>20</v>
      </c>
      <c r="D7" s="8"/>
      <c r="E7" s="7"/>
      <c r="G7" s="1" t="str">
        <f aca="false">IF(ISERROR(SEARCH(",",E7,1)),_xlfn.SWITCH(IF(ISBLANK(E7),"OK",_xlfn.XLOOKUP(E7,$A$2:$A$54,$D$2:$D$54,"NO",1,1)),"A","OK","E","OK","OK","OK","NO"),"COMMA")</f>
        <v>OK</v>
      </c>
      <c r="H7" s="1" t="str">
        <f aca="false">IF(ISERROR(SEARCH(",",E7,1)),_xlfn.SWITCH(IF(ISBLANK(E7),"OK",_xlfn.XLOOKUP(E7,$A$2:$A$54,$D$2:$D$54,"NO",1,1)),"A","OK","E","OK","OK","OK","NO"),"COMMA")</f>
        <v>OK</v>
      </c>
      <c r="J7" s="12" t="s">
        <v>21</v>
      </c>
      <c r="K7" s="10" t="n">
        <f aca="false">COUNTBLANK($D$2:$D$54)</f>
        <v>53</v>
      </c>
      <c r="M7" s="0" t="s">
        <v>22</v>
      </c>
    </row>
    <row r="8" customFormat="false" ht="13.8" hidden="false" customHeight="false" outlineLevel="0" collapsed="false">
      <c r="A8" s="5" t="n">
        <v>5</v>
      </c>
      <c r="B8" s="6" t="n">
        <v>1</v>
      </c>
      <c r="C8" s="5" t="s">
        <v>23</v>
      </c>
      <c r="D8" s="6"/>
      <c r="E8" s="5"/>
      <c r="G8" s="1" t="str">
        <f aca="false">IF(ISERROR(SEARCH(",",E8,1)),_xlfn.SWITCH(IF(ISBLANK(E8),"OK",_xlfn.XLOOKUP(E8,$A$2:$A$54,$D$2:$D$54,"NO",1,1)),"A","OK","E","OK","OK","OK","NO"),"COMMA")</f>
        <v>OK</v>
      </c>
      <c r="H8" s="1" t="str">
        <f aca="false">IF(ISERROR(SEARCH(",",E8,1)),_xlfn.SWITCH(IF(ISBLANK(E8),"OK",_xlfn.XLOOKUP(E8,$A$2:$A$54,$D$2:$D$54,"NO",1,1)),"A","OK","E","OK","OK","OK","NO"),"COMMA")</f>
        <v>OK</v>
      </c>
      <c r="J8" s="0"/>
    </row>
    <row r="9" customFormat="false" ht="13.8" hidden="false" customHeight="false" outlineLevel="0" collapsed="false">
      <c r="A9" s="7" t="n">
        <v>6</v>
      </c>
      <c r="B9" s="8" t="n">
        <v>1</v>
      </c>
      <c r="C9" s="7" t="s">
        <v>24</v>
      </c>
      <c r="D9" s="8"/>
      <c r="E9" s="7"/>
      <c r="G9" s="1" t="str">
        <f aca="false">IF(ISERROR(SEARCH(",",E9,1)),_xlfn.SWITCH(IF(ISBLANK(E9),"OK",_xlfn.XLOOKUP(E9,$A$2:$A$54,$D$2:$D$54,"NO",1,1)),"A","OK","E","OK","OK","OK","NO"),"COMMA")</f>
        <v>OK</v>
      </c>
      <c r="H9" s="1" t="str">
        <f aca="false">IF(ISERROR(SEARCH(",",E9,1)),_xlfn.SWITCH(IF(ISBLANK(E9),"OK",_xlfn.XLOOKUP(E9,$A$2:$A$54,$D$2:$D$54,"NO",1,1)),"A","OK","E","OK","OK","OK","NO"),"COMMA")</f>
        <v>OK</v>
      </c>
      <c r="J9" s="13" t="s">
        <v>25</v>
      </c>
      <c r="K9" s="14" t="n">
        <f aca="false">(K4+K5)/53</f>
        <v>0</v>
      </c>
    </row>
    <row r="10" customFormat="false" ht="13.8" hidden="false" customHeight="false" outlineLevel="0" collapsed="false">
      <c r="A10" s="5" t="n">
        <v>7</v>
      </c>
      <c r="B10" s="6" t="n">
        <v>2</v>
      </c>
      <c r="C10" s="5" t="s">
        <v>26</v>
      </c>
      <c r="D10" s="6"/>
      <c r="E10" s="5"/>
      <c r="G10" s="1" t="str">
        <f aca="false">IF(ISERROR(SEARCH(",",E10,1)),_xlfn.SWITCH(IF(ISBLANK(E10),"OK",_xlfn.XLOOKUP(E10,$A$2:$A$54,$D$2:$D$54,"NO",1,1)),"A","OK","E","OK","OK","OK","NO"),"COMMA")</f>
        <v>OK</v>
      </c>
      <c r="H10" s="1" t="str">
        <f aca="false">IF(ISERROR(SEARCH(",",E10,1)),_xlfn.SWITCH(IF(ISBLANK(E10),"OK",_xlfn.XLOOKUP(E10,$A$2:$A$54,$D$2:$D$54,"NO",1,1)),"A","OK","E","OK","OK","OK","NO"),"COMMA")</f>
        <v>OK</v>
      </c>
      <c r="J10" s="0"/>
    </row>
    <row r="11" customFormat="false" ht="13.8" hidden="false" customHeight="false" outlineLevel="0" collapsed="false">
      <c r="A11" s="7" t="n">
        <v>8</v>
      </c>
      <c r="B11" s="8" t="n">
        <v>2</v>
      </c>
      <c r="C11" s="7" t="s">
        <v>27</v>
      </c>
      <c r="D11" s="8"/>
      <c r="E11" s="7" t="n">
        <v>5</v>
      </c>
      <c r="G11" s="1" t="str">
        <f aca="false">IF(ISERROR(SEARCH(",",E11,1)),_xlfn.SWITCH(IF(ISBLANK(E11),"OK",_xlfn.XLOOKUP(E11,$A$2:$A$54,$D$2:$D$54,"NO",1,1)),"A","OK","E","OK","OK","OK","NO"),"COMMA")</f>
        <v>NO</v>
      </c>
      <c r="H11" s="1" t="str">
        <f aca="false">IF(ISERROR(SEARCH(",",E11,1)),_xlfn.SWITCH(IF(ISBLANK(E11),"OK",_xlfn.XLOOKUP(E11,$A$2:$A$54,$D$2:$D$54,"NO",1,1)),"A","OK","E","OK","OK","OK","NO"),"COMMA")</f>
        <v>NO</v>
      </c>
      <c r="J11" s="0"/>
    </row>
    <row r="12" customFormat="false" ht="13.8" hidden="false" customHeight="false" outlineLevel="0" collapsed="false">
      <c r="A12" s="5" t="n">
        <v>9</v>
      </c>
      <c r="B12" s="6" t="n">
        <v>2</v>
      </c>
      <c r="C12" s="5" t="s">
        <v>28</v>
      </c>
      <c r="D12" s="6"/>
      <c r="E12" s="5"/>
      <c r="G12" s="1" t="str">
        <f aca="false">IF(ISERROR(SEARCH(",",E12,1)),_xlfn.SWITCH(IF(ISBLANK(E12),"OK",_xlfn.XLOOKUP(E12,$A$2:$A$54,$D$2:$D$54,"NO",1,1)),"A","OK","E","OK","OK","OK","NO"),"COMMA")</f>
        <v>OK</v>
      </c>
      <c r="H12" s="1" t="str">
        <f aca="false">IF(ISERROR(SEARCH(",",E12,1)),_xlfn.SWITCH(IF(ISBLANK(E12),"OK",_xlfn.XLOOKUP(E12,$A$2:$A$54,$D$2:$D$54,"NO",1,1)),"A","OK","E","OK","OK","OK","NO"),"COMMA")</f>
        <v>OK</v>
      </c>
      <c r="J12" s="0"/>
    </row>
    <row r="13" customFormat="false" ht="13.8" hidden="false" customHeight="false" outlineLevel="0" collapsed="false">
      <c r="A13" s="7" t="n">
        <v>10</v>
      </c>
      <c r="B13" s="8" t="n">
        <v>2</v>
      </c>
      <c r="C13" s="7" t="s">
        <v>29</v>
      </c>
      <c r="D13" s="8"/>
      <c r="E13" s="7"/>
      <c r="G13" s="1" t="str">
        <f aca="false">IF(ISERROR(SEARCH(",",E13,1)),_xlfn.SWITCH(IF(ISBLANK(E13),"OK",_xlfn.XLOOKUP(E13,$A$2:$A$54,$D$2:$D$54,"NO",1,1)),"A","OK","E","OK","OK","OK","NO"),"COMMA")</f>
        <v>OK</v>
      </c>
      <c r="H13" s="1" t="str">
        <f aca="false">IF(ISERROR(SEARCH(",",E13,1)),_xlfn.SWITCH(IF(ISBLANK(E13),"OK",_xlfn.XLOOKUP(E13,$A$2:$A$54,$D$2:$D$54,"NO",1,1)),"A","OK","E","OK","OK","OK","NO"),"COMMA")</f>
        <v>OK</v>
      </c>
      <c r="J13" s="0"/>
    </row>
    <row r="14" customFormat="false" ht="13.8" hidden="false" customHeight="false" outlineLevel="0" collapsed="false">
      <c r="A14" s="5" t="n">
        <v>11</v>
      </c>
      <c r="B14" s="6" t="n">
        <v>2</v>
      </c>
      <c r="C14" s="5" t="s">
        <v>30</v>
      </c>
      <c r="D14" s="6"/>
      <c r="E14" s="5"/>
      <c r="G14" s="1" t="str">
        <f aca="false">IF(ISERROR(SEARCH(",",E14,1)),_xlfn.SWITCH(IF(ISBLANK(E14),"OK",_xlfn.XLOOKUP(E14,$A$2:$A$54,$D$2:$D$54,"NO",1,1)),"A","OK","E","OK","OK","OK","NO"),"COMMA")</f>
        <v>OK</v>
      </c>
      <c r="H14" s="1" t="str">
        <f aca="false">IF(ISERROR(SEARCH(",",E14,1)),_xlfn.SWITCH(IF(ISBLANK(E14),"OK",_xlfn.XLOOKUP(E14,$A$2:$A$54,$D$2:$D$54,"NO",1,1)),"A","OK","E","OK","OK","OK","NO"),"COMMA")</f>
        <v>OK</v>
      </c>
      <c r="J14" s="0"/>
    </row>
    <row r="15" customFormat="false" ht="13.8" hidden="false" customHeight="false" outlineLevel="0" collapsed="false">
      <c r="A15" s="7" t="n">
        <v>12</v>
      </c>
      <c r="B15" s="8" t="n">
        <v>2</v>
      </c>
      <c r="C15" s="7" t="s">
        <v>31</v>
      </c>
      <c r="D15" s="8"/>
      <c r="E15" s="7" t="n">
        <v>6</v>
      </c>
      <c r="G15" s="1" t="str">
        <f aca="false">IF(ISERROR(SEARCH(",",E15,1)),_xlfn.SWITCH(IF(ISBLANK(E15),"OK",_xlfn.XLOOKUP(E15,$A$2:$A$54,$D$2:$D$54,"NO",1,1)),"A","OK","E","OK","OK","OK","NO"),"COMMA")</f>
        <v>NO</v>
      </c>
      <c r="H15" s="1" t="str">
        <f aca="false">IF(ISERROR(SEARCH(",",E15,1)),_xlfn.SWITCH(IF(ISBLANK(E15),"OK",_xlfn.XLOOKUP(E15,$A$2:$A$54,$D$2:$D$54,"NO",1,1)),"A","OK","E","OK","OK","OK","NO"),"COMMA")</f>
        <v>NO</v>
      </c>
      <c r="J15" s="1" t="e">
        <v>#REF!</v>
      </c>
    </row>
    <row r="16" customFormat="false" ht="13.8" hidden="false" customHeight="false" outlineLevel="0" collapsed="false">
      <c r="A16" s="5" t="n">
        <v>13</v>
      </c>
      <c r="B16" s="6" t="n">
        <v>3</v>
      </c>
      <c r="C16" s="5" t="s">
        <v>32</v>
      </c>
      <c r="D16" s="6"/>
      <c r="E16" s="5"/>
      <c r="G16" s="1" t="str">
        <f aca="false">IF(ISERROR(SEARCH(",",E16,1)),_xlfn.SWITCH(IF(ISBLANK(E16),"OK",_xlfn.XLOOKUP(E16,$A$2:$A$54,$D$2:$D$54,"NO",1,1)),"A","OK","E","OK","OK","OK","NO"),"COMMA")</f>
        <v>OK</v>
      </c>
      <c r="H16" s="1" t="str">
        <f aca="false">IF(ISERROR(SEARCH(",",E16,1)),_xlfn.SWITCH(IF(ISBLANK(E16),"OK",_xlfn.XLOOKUP(E16,$A$2:$A$54,$D$2:$D$54,"NO",1,1)),"A","OK","E","OK","OK","OK","NO"),"COMMA")</f>
        <v>OK</v>
      </c>
      <c r="J16" s="0"/>
    </row>
    <row r="17" customFormat="false" ht="13.8" hidden="false" customHeight="false" outlineLevel="0" collapsed="false">
      <c r="A17" s="7" t="n">
        <v>14</v>
      </c>
      <c r="B17" s="8" t="n">
        <v>3</v>
      </c>
      <c r="C17" s="7" t="s">
        <v>33</v>
      </c>
      <c r="D17" s="8"/>
      <c r="E17" s="7" t="n">
        <v>8</v>
      </c>
      <c r="G17" s="1" t="str">
        <f aca="false">IF(ISERROR(SEARCH(",",E17,1)),_xlfn.SWITCH(IF(ISBLANK(E17),"OK",_xlfn.XLOOKUP(E17,$A$2:$A$54,$D$2:$D$54,"NO",1,1)),"A","OK","E","OK","OK","OK","NO"),"COMMA")</f>
        <v>NO</v>
      </c>
      <c r="H17" s="1" t="str">
        <f aca="false">IF(ISERROR(SEARCH(",",E17,1)),_xlfn.SWITCH(IF(ISBLANK(E17),"OK",_xlfn.XLOOKUP(E17,$A$2:$A$54,$D$2:$D$54,"NO",1,1)),"A","OK","E","OK","OK","OK","NO"),"COMMA")</f>
        <v>NO</v>
      </c>
      <c r="J17" s="0"/>
    </row>
    <row r="18" customFormat="false" ht="13.8" hidden="false" customHeight="false" outlineLevel="0" collapsed="false">
      <c r="A18" s="5" t="n">
        <v>15</v>
      </c>
      <c r="B18" s="6" t="n">
        <v>3</v>
      </c>
      <c r="C18" s="5" t="s">
        <v>34</v>
      </c>
      <c r="D18" s="6"/>
      <c r="E18" s="5"/>
      <c r="G18" s="1" t="str">
        <f aca="false">IF(ISERROR(SEARCH(",",E18,1)),_xlfn.SWITCH(IF(ISBLANK(E18),"OK",_xlfn.XLOOKUP(E18,$A$2:$A$54,$D$2:$D$54,"NO",1,1)),"A","OK","E","OK","OK","OK","NO"),"COMMA")</f>
        <v>OK</v>
      </c>
      <c r="H18" s="1" t="str">
        <f aca="false">IF(ISERROR(SEARCH(",",E18,1)),_xlfn.SWITCH(IF(ISBLANK(E18),"OK",_xlfn.XLOOKUP(E18,$A$2:$A$54,$D$2:$D$54,"NO",1,1)),"A","OK","E","OK","OK","OK","NO"),"COMMA")</f>
        <v>OK</v>
      </c>
      <c r="J18" s="0"/>
    </row>
    <row r="19" customFormat="false" ht="13.8" hidden="false" customHeight="false" outlineLevel="0" collapsed="false">
      <c r="A19" s="7" t="n">
        <v>16</v>
      </c>
      <c r="B19" s="8" t="n">
        <v>3</v>
      </c>
      <c r="C19" s="7" t="s">
        <v>35</v>
      </c>
      <c r="D19" s="8"/>
      <c r="E19" s="7" t="n">
        <v>11</v>
      </c>
      <c r="G19" s="1" t="str">
        <f aca="false">IF(ISERROR(SEARCH(",",E19,1)),_xlfn.SWITCH(IF(ISBLANK(E19),"OK",_xlfn.XLOOKUP(E19,$A$2:$A$54,$D$2:$D$54,"NO",1,1)),"A","OK","E","OK","OK","OK","NO"),"COMMA")</f>
        <v>NO</v>
      </c>
      <c r="H19" s="1" t="str">
        <f aca="false">IF(ISERROR(SEARCH(",",E19,1)),_xlfn.SWITCH(IF(ISBLANK(E19),"OK",_xlfn.XLOOKUP(E19,$A$2:$A$54,$D$2:$D$54,"NO",1,1)),"A","OK","E","OK","OK","OK","NO"),"COMMA")</f>
        <v>NO</v>
      </c>
      <c r="J19" s="0"/>
    </row>
    <row r="20" customFormat="false" ht="13.8" hidden="false" customHeight="false" outlineLevel="0" collapsed="false">
      <c r="A20" s="5" t="n">
        <v>17</v>
      </c>
      <c r="B20" s="6" t="n">
        <v>3</v>
      </c>
      <c r="C20" s="5" t="s">
        <v>36</v>
      </c>
      <c r="D20" s="6"/>
      <c r="E20" s="5"/>
      <c r="G20" s="1" t="str">
        <f aca="false">IF(ISERROR(SEARCH(",",E20,1)),_xlfn.SWITCH(IF(ISBLANK(E20),"OK",_xlfn.XLOOKUP(E20,$A$2:$A$54,$D$2:$D$54,"NO",1,1)),"A","OK","E","OK","OK","OK","NO"),"COMMA")</f>
        <v>OK</v>
      </c>
      <c r="H20" s="1" t="str">
        <f aca="false">IF(ISERROR(SEARCH(",",E20,1)),_xlfn.SWITCH(IF(ISBLANK(E20),"OK",_xlfn.XLOOKUP(E20,$A$2:$A$54,$D$2:$D$54,"NO",1,1)),"A","OK","E","OK","OK","OK","NO"),"COMMA")</f>
        <v>OK</v>
      </c>
    </row>
    <row r="21" customFormat="false" ht="13.8" hidden="false" customHeight="false" outlineLevel="0" collapsed="false">
      <c r="A21" s="7" t="n">
        <v>18</v>
      </c>
      <c r="B21" s="8" t="n">
        <v>3</v>
      </c>
      <c r="C21" s="7" t="s">
        <v>37</v>
      </c>
      <c r="D21" s="8"/>
      <c r="E21" s="7" t="n">
        <v>12</v>
      </c>
      <c r="G21" s="1" t="str">
        <f aca="false">IF(ISERROR(SEARCH(",",E21,1)),_xlfn.SWITCH(IF(ISBLANK(E21),"OK",_xlfn.XLOOKUP(E21,$A$2:$A$54,$D$2:$D$54,"NO",1,1)),"A","OK","E","OK","OK","OK","NO"),"COMMA")</f>
        <v>NO</v>
      </c>
      <c r="H21" s="1" t="str">
        <f aca="false">IF(ISERROR(SEARCH(",",E21,1)),_xlfn.SWITCH(IF(ISBLANK(E21),"OK",_xlfn.XLOOKUP(E21,$A$2:$A$54,$D$2:$D$54,"NO",1,1)),"A","OK","E","OK","OK","OK","NO"),"COMMA")</f>
        <v>NO</v>
      </c>
    </row>
    <row r="22" customFormat="false" ht="13.8" hidden="false" customHeight="false" outlineLevel="0" collapsed="false">
      <c r="A22" s="5" t="n">
        <v>19</v>
      </c>
      <c r="B22" s="6" t="n">
        <v>3</v>
      </c>
      <c r="C22" s="5" t="s">
        <v>38</v>
      </c>
      <c r="D22" s="6"/>
      <c r="E22" s="5"/>
      <c r="G22" s="1" t="str">
        <f aca="false">IF(ISERROR(SEARCH(",",E22,1)),_xlfn.SWITCH(IF(ISBLANK(E22),"OK",_xlfn.XLOOKUP(E22,$A$2:$A$54,$D$2:$D$54,"NO",1,1)),"A","OK","E","OK","OK","OK","NO"),"COMMA")</f>
        <v>OK</v>
      </c>
      <c r="H22" s="1" t="str">
        <f aca="false">IF(ISERROR(SEARCH(",",E22,1)),_xlfn.SWITCH(IF(ISBLANK(E22),"OK",_xlfn.XLOOKUP(E22,$A$2:$A$54,$D$2:$D$54,"NO",1,1)),"A","OK","E","OK","OK","OK","NO"),"COMMA")</f>
        <v>OK</v>
      </c>
    </row>
    <row r="23" customFormat="false" ht="13.8" hidden="false" customHeight="false" outlineLevel="0" collapsed="false">
      <c r="A23" s="7" t="n">
        <v>20</v>
      </c>
      <c r="B23" s="8" t="n">
        <v>4</v>
      </c>
      <c r="C23" s="7" t="s">
        <v>39</v>
      </c>
      <c r="D23" s="8"/>
      <c r="E23" s="7" t="n">
        <v>15</v>
      </c>
      <c r="G23" s="1" t="str">
        <f aca="false">IF(ISERROR(SEARCH(",",E23,1)),_xlfn.SWITCH(IF(ISBLANK(E23),"OK",_xlfn.XLOOKUP(E23,$A$2:$A$54,$D$2:$D$54,"NO",1,1)),"A","OK","E","OK","OK","OK","NO"),"COMMA")</f>
        <v>NO</v>
      </c>
      <c r="H23" s="1" t="str">
        <f aca="false">IF(ISERROR(SEARCH(",",E23,1)),_xlfn.SWITCH(IF(ISBLANK(E23),"OK",_xlfn.XLOOKUP(E23,$A$2:$A$54,$D$2:$D$54,"NO",1,1)),"A","OK","E","OK","OK","OK","NO"),"COMMA")</f>
        <v>NO</v>
      </c>
    </row>
    <row r="24" customFormat="false" ht="13.8" hidden="false" customHeight="false" outlineLevel="0" collapsed="false">
      <c r="A24" s="5" t="n">
        <v>21</v>
      </c>
      <c r="B24" s="6" t="n">
        <v>4</v>
      </c>
      <c r="C24" s="5" t="s">
        <v>40</v>
      </c>
      <c r="D24" s="6"/>
      <c r="E24" s="5" t="n">
        <v>14</v>
      </c>
      <c r="G24" s="1" t="str">
        <f aca="false">IF(ISERROR(SEARCH(",",E24,1)),_xlfn.SWITCH(IF(ISBLANK(E24),"OK",_xlfn.XLOOKUP(E24,$A$2:$A$54,$D$2:$D$54,"NO",1,1)),"A","OK","E","OK","OK","OK","NO"),"COMMA")</f>
        <v>NO</v>
      </c>
      <c r="H24" s="1" t="str">
        <f aca="false">IF(ISERROR(SEARCH(",",E24,1)),_xlfn.SWITCH(IF(ISBLANK(E24),"OK",_xlfn.XLOOKUP(E24,$A$2:$A$54,$D$2:$D$54,"NO",1,1)),"A","OK","E","OK","OK","OK","NO"),"COMMA")</f>
        <v>NO</v>
      </c>
    </row>
    <row r="25" customFormat="false" ht="13.8" hidden="false" customHeight="false" outlineLevel="0" collapsed="false">
      <c r="A25" s="7" t="n">
        <v>22</v>
      </c>
      <c r="B25" s="8" t="n">
        <v>4</v>
      </c>
      <c r="C25" s="7" t="s">
        <v>41</v>
      </c>
      <c r="D25" s="8"/>
      <c r="E25" s="7"/>
      <c r="G25" s="1" t="str">
        <f aca="false">IF(ISERROR(SEARCH(",",E25,1)),_xlfn.SWITCH(IF(ISBLANK(E25),"OK",_xlfn.XLOOKUP(E25,$A$2:$A$54,$D$2:$D$54,"NO",1,1)),"A","OK","E","OK","OK","OK","NO"),"COMMA")</f>
        <v>OK</v>
      </c>
      <c r="H25" s="1" t="str">
        <f aca="false">IF(ISERROR(SEARCH(",",E25,1)),_xlfn.SWITCH(IF(ISBLANK(E25),"OK",_xlfn.XLOOKUP(E25,$A$2:$A$54,$D$2:$D$54,"NO",1,1)),"A","OK","E","OK","OK","OK","NO"),"COMMA")</f>
        <v>OK</v>
      </c>
    </row>
    <row r="26" customFormat="false" ht="13.8" hidden="false" customHeight="false" outlineLevel="0" collapsed="false">
      <c r="A26" s="5" t="n">
        <v>23</v>
      </c>
      <c r="B26" s="6" t="n">
        <v>4</v>
      </c>
      <c r="C26" s="5" t="s">
        <v>42</v>
      </c>
      <c r="D26" s="6"/>
      <c r="E26" s="5" t="n">
        <v>8</v>
      </c>
      <c r="G26" s="1" t="str">
        <f aca="false">IF(ISERROR(SEARCH(",",E26,1)),_xlfn.SWITCH(IF(ISBLANK(E26),"OK",_xlfn.XLOOKUP(E26,$A$2:$A$54,$D$2:$D$54,"NO",1,1)),"A","OK","E","OK","OK","OK","NO"),"COMMA")</f>
        <v>NO</v>
      </c>
      <c r="H26" s="1" t="str">
        <f aca="false">IF(ISERROR(SEARCH(",",E26,1)),_xlfn.SWITCH(IF(ISBLANK(E26),"OK",_xlfn.XLOOKUP(E26,$A$2:$A$54,$D$2:$D$54,"NO",1,1)),"A","OK","E","OK","OK","OK","NO"),"COMMA")</f>
        <v>NO</v>
      </c>
    </row>
    <row r="27" customFormat="false" ht="13.8" hidden="false" customHeight="false" outlineLevel="0" collapsed="false">
      <c r="A27" s="7" t="n">
        <v>24</v>
      </c>
      <c r="B27" s="8" t="n">
        <v>4</v>
      </c>
      <c r="C27" s="7" t="s">
        <v>43</v>
      </c>
      <c r="D27" s="8"/>
      <c r="E27" s="7"/>
      <c r="G27" s="1" t="str">
        <f aca="false">IF(ISERROR(SEARCH(",",E27,1)),_xlfn.SWITCH(IF(ISBLANK(E27),"OK",_xlfn.XLOOKUP(E27,$A$2:$A$54,$D$2:$D$54,"NO",1,1)),"A","OK","E","OK","OK","OK","NO"),"COMMA")</f>
        <v>OK</v>
      </c>
      <c r="H27" s="1" t="str">
        <f aca="false">IF(ISERROR(SEARCH(",",E27,1)),_xlfn.SWITCH(IF(ISBLANK(E27),"OK",_xlfn.XLOOKUP(E27,$A$2:$A$54,$D$2:$D$54,"NO",1,1)),"A","OK","E","OK","OK","OK","NO"),"COMMA")</f>
        <v>OK</v>
      </c>
    </row>
    <row r="28" customFormat="false" ht="13.8" hidden="false" customHeight="false" outlineLevel="0" collapsed="false">
      <c r="A28" s="5" t="n">
        <v>25</v>
      </c>
      <c r="B28" s="6" t="n">
        <v>4</v>
      </c>
      <c r="C28" s="5" t="s">
        <v>44</v>
      </c>
      <c r="D28" s="6"/>
      <c r="E28" s="5" t="n">
        <v>18</v>
      </c>
      <c r="G28" s="1" t="str">
        <f aca="false">IF(ISERROR(SEARCH(",",E28,1)),_xlfn.SWITCH(IF(ISBLANK(E28),"OK",_xlfn.XLOOKUP(E28,$A$2:$A$54,$D$2:$D$54,"NO",1,1)),"A","OK","E","OK","OK","OK","NO"),"COMMA")</f>
        <v>NO</v>
      </c>
      <c r="H28" s="1" t="str">
        <f aca="false">IF(ISERROR(SEARCH(",",E28,1)),_xlfn.SWITCH(IF(ISBLANK(E28),"OK",_xlfn.XLOOKUP(E28,$A$2:$A$54,$D$2:$D$54,"NO",1,1)),"A","OK","E","OK","OK","OK","NO"),"COMMA")</f>
        <v>NO</v>
      </c>
    </row>
    <row r="29" customFormat="false" ht="13.8" hidden="false" customHeight="false" outlineLevel="0" collapsed="false">
      <c r="A29" s="7" t="n">
        <v>26</v>
      </c>
      <c r="B29" s="8" t="n">
        <v>5</v>
      </c>
      <c r="C29" s="7" t="s">
        <v>45</v>
      </c>
      <c r="D29" s="8"/>
      <c r="E29" s="7"/>
      <c r="G29" s="1" t="str">
        <f aca="false">IF(ISERROR(SEARCH(",",E29,1)),_xlfn.SWITCH(IF(ISBLANK(E29),"OK",_xlfn.XLOOKUP(E29,$A$2:$A$54,$D$2:$D$54,"NO",1,1)),"A","OK","E","OK","OK","OK","NO"),"COMMA")</f>
        <v>OK</v>
      </c>
      <c r="H29" s="1" t="str">
        <f aca="false">IF(ISERROR(SEARCH(",",E29,1)),_xlfn.SWITCH(IF(ISBLANK(E29),"OK",_xlfn.XLOOKUP(E29,$A$2:$A$54,$D$2:$D$54,"NO",1,1)),"A","OK","E","OK","OK","OK","NO"),"COMMA")</f>
        <v>OK</v>
      </c>
    </row>
    <row r="30" customFormat="false" ht="13.8" hidden="false" customHeight="false" outlineLevel="0" collapsed="false">
      <c r="A30" s="5" t="n">
        <v>27</v>
      </c>
      <c r="B30" s="6" t="n">
        <v>5</v>
      </c>
      <c r="C30" s="5" t="s">
        <v>46</v>
      </c>
      <c r="D30" s="6"/>
      <c r="E30" s="5"/>
      <c r="G30" s="1" t="str">
        <f aca="false">IF(ISERROR(SEARCH(",",E30,1)),_xlfn.SWITCH(IF(ISBLANK(E30),"OK",_xlfn.XLOOKUP(E30,$A$2:$A$54,$D$2:$D$54,"NO",1,1)),"A","OK","E","OK","OK","OK","NO"),"COMMA")</f>
        <v>OK</v>
      </c>
      <c r="H30" s="1" t="str">
        <f aca="false">IF(ISERROR(SEARCH(",",E30,1)),_xlfn.SWITCH(IF(ISBLANK(E30),"OK",_xlfn.XLOOKUP(E30,$A$2:$A$54,$D$2:$D$54,"NO",1,1)),"A","OK","E","OK","OK","OK","NO"),"COMMA")</f>
        <v>OK</v>
      </c>
    </row>
    <row r="31" customFormat="false" ht="13.8" hidden="false" customHeight="false" outlineLevel="0" collapsed="false">
      <c r="A31" s="7" t="n">
        <v>28</v>
      </c>
      <c r="B31" s="8" t="n">
        <v>5</v>
      </c>
      <c r="C31" s="7" t="s">
        <v>47</v>
      </c>
      <c r="D31" s="8"/>
      <c r="E31" s="7"/>
      <c r="G31" s="1" t="str">
        <f aca="false">IF(ISERROR(SEARCH(",",E31,1)),_xlfn.SWITCH(IF(ISBLANK(E31),"OK",_xlfn.XLOOKUP(E31,$A$2:$A$54,$D$2:$D$54,"NO",1,1)),"A","OK","E","OK","OK","OK","NO"),"COMMA")</f>
        <v>OK</v>
      </c>
      <c r="H31" s="1" t="str">
        <f aca="false">IF(ISERROR(SEARCH(",",E31,1)),_xlfn.SWITCH(IF(ISBLANK(E31),"OK",_xlfn.XLOOKUP(E31,$A$2:$A$54,$D$2:$D$54,"NO",1,1)),"A","OK","E","OK","OK","OK","NO"),"COMMA")</f>
        <v>OK</v>
      </c>
    </row>
    <row r="32" customFormat="false" ht="13.8" hidden="false" customHeight="false" outlineLevel="0" collapsed="false">
      <c r="A32" s="5" t="n">
        <v>29</v>
      </c>
      <c r="B32" s="6" t="n">
        <v>5</v>
      </c>
      <c r="C32" s="5" t="s">
        <v>48</v>
      </c>
      <c r="D32" s="6"/>
      <c r="E32" s="5" t="n">
        <v>9</v>
      </c>
      <c r="G32" s="1" t="str">
        <f aca="false">IF(ISERROR(SEARCH(",",E32,1)),_xlfn.SWITCH(IF(ISBLANK(E32),"OK",_xlfn.XLOOKUP(E32,$A$2:$A$54,$D$2:$D$54,"NO",1,1)),"A","OK","E","OK","OK","OK","NO"),"COMMA")</f>
        <v>NO</v>
      </c>
      <c r="H32" s="1" t="str">
        <f aca="false">IF(ISERROR(SEARCH(",",E32,1)),_xlfn.SWITCH(IF(ISBLANK(E32),"OK",_xlfn.XLOOKUP(E32,$A$2:$A$54,$D$2:$D$54,"NO",1,1)),"A","OK","E","OK","OK","OK","NO"),"COMMA")</f>
        <v>NO</v>
      </c>
    </row>
    <row r="33" customFormat="false" ht="13.8" hidden="false" customHeight="false" outlineLevel="0" collapsed="false">
      <c r="A33" s="7" t="n">
        <v>30</v>
      </c>
      <c r="B33" s="8" t="n">
        <v>5</v>
      </c>
      <c r="C33" s="7" t="s">
        <v>49</v>
      </c>
      <c r="D33" s="8"/>
      <c r="E33" s="7"/>
      <c r="G33" s="1" t="str">
        <f aca="false">IF(ISERROR(SEARCH(",",E33,1)),_xlfn.SWITCH(IF(ISBLANK(E33),"OK",_xlfn.XLOOKUP(E33,$A$2:$A$54,$D$2:$D$54,"NO",1,1)),"A","OK","E","OK","OK","OK","NO"),"COMMA")</f>
        <v>OK</v>
      </c>
      <c r="H33" s="1" t="str">
        <f aca="false">IF(ISERROR(SEARCH(",",E33,1)),_xlfn.SWITCH(IF(ISBLANK(E33),"OK",_xlfn.XLOOKUP(E33,$A$2:$A$54,$D$2:$D$54,"NO",1,1)),"A","OK","E","OK","OK","OK","NO"),"COMMA")</f>
        <v>OK</v>
      </c>
    </row>
    <row r="34" customFormat="false" ht="13.8" hidden="false" customHeight="false" outlineLevel="0" collapsed="false">
      <c r="A34" s="5" t="n">
        <v>31</v>
      </c>
      <c r="B34" s="6" t="n">
        <v>5</v>
      </c>
      <c r="C34" s="5" t="s">
        <v>50</v>
      </c>
      <c r="D34" s="6"/>
      <c r="E34" s="5" t="n">
        <v>25</v>
      </c>
      <c r="G34" s="1" t="str">
        <f aca="false">IF(ISERROR(SEARCH(",",E34,1)),_xlfn.SWITCH(IF(ISBLANK(E34),"OK",_xlfn.XLOOKUP(E34,$A$2:$A$54,$D$2:$D$54,"NO",1,1)),"A","OK","E","OK","OK","OK","NO"),"COMMA")</f>
        <v>NO</v>
      </c>
      <c r="H34" s="1" t="str">
        <f aca="false">IF(ISERROR(SEARCH(",",E34,1)),_xlfn.SWITCH(IF(ISBLANK(E34),"OK",_xlfn.XLOOKUP(E34,$A$2:$A$54,$D$2:$D$54,"NO",1,1)),"A","OK","E","OK","OK","OK","NO"),"COMMA")</f>
        <v>NO</v>
      </c>
    </row>
    <row r="35" customFormat="false" ht="13.8" hidden="false" customHeight="false" outlineLevel="0" collapsed="false">
      <c r="A35" s="7" t="n">
        <v>32</v>
      </c>
      <c r="B35" s="8" t="n">
        <v>6</v>
      </c>
      <c r="C35" s="7" t="s">
        <v>51</v>
      </c>
      <c r="D35" s="8"/>
      <c r="E35" s="7"/>
      <c r="G35" s="1" t="str">
        <f aca="false">IF(ISERROR(SEARCH(",",E35,1)),_xlfn.SWITCH(IF(ISBLANK(E35),"OK",_xlfn.XLOOKUP(E35,$A$2:$A$54,$D$2:$D$54,"NO",1,1)),"A","OK","E","OK","OK","OK","NO"),"COMMA")</f>
        <v>OK</v>
      </c>
      <c r="H35" s="1" t="str">
        <f aca="false">IF(ISERROR(SEARCH(",",E35,1)),_xlfn.SWITCH(IF(ISBLANK(E35),"OK",_xlfn.XLOOKUP(E35,$A$2:$A$54,$D$2:$D$54,"NO",1,1)),"A","OK","E","OK","OK","OK","NO"),"COMMA")</f>
        <v>OK</v>
      </c>
    </row>
    <row r="36" customFormat="false" ht="13.8" hidden="false" customHeight="false" outlineLevel="0" collapsed="false">
      <c r="A36" s="5" t="n">
        <v>33</v>
      </c>
      <c r="B36" s="6" t="n">
        <v>6</v>
      </c>
      <c r="C36" s="5" t="s">
        <v>52</v>
      </c>
      <c r="D36" s="6"/>
      <c r="E36" s="5"/>
      <c r="G36" s="1" t="str">
        <f aca="false">IF(ISERROR(SEARCH(",",E36,1)),_xlfn.SWITCH(IF(ISBLANK(E36),"OK",_xlfn.XLOOKUP(E36,$A$2:$A$54,$D$2:$D$54,"NO",1,1)),"A","OK","E","OK","OK","OK","NO"),"COMMA")</f>
        <v>OK</v>
      </c>
      <c r="H36" s="1" t="str">
        <f aca="false">IF(ISERROR(SEARCH(",",E36,1)),_xlfn.SWITCH(IF(ISBLANK(E36),"OK",_xlfn.XLOOKUP(E36,$A$2:$A$54,$D$2:$D$54,"NO",1,1)),"A","OK","E","OK","OK","OK","NO"),"COMMA")</f>
        <v>OK</v>
      </c>
    </row>
    <row r="37" customFormat="false" ht="13.8" hidden="false" customHeight="false" outlineLevel="0" collapsed="false">
      <c r="A37" s="7" t="n">
        <v>34</v>
      </c>
      <c r="B37" s="8" t="n">
        <v>6</v>
      </c>
      <c r="C37" s="7" t="s">
        <v>53</v>
      </c>
      <c r="D37" s="8"/>
      <c r="E37" s="7"/>
      <c r="G37" s="1" t="str">
        <f aca="false">IF(ISERROR(SEARCH(",",E37,1)),_xlfn.SWITCH(IF(ISBLANK(E37),"OK",_xlfn.XLOOKUP(E37,$A$2:$A$54,$D$2:$D$54,"NO",1,1)),"A","OK","E","OK","OK","OK","NO"),"COMMA")</f>
        <v>OK</v>
      </c>
      <c r="H37" s="1" t="str">
        <f aca="false">IF(ISERROR(SEARCH(",",E37,1)),_xlfn.SWITCH(IF(ISBLANK(E37),"OK",_xlfn.XLOOKUP(E37,$A$2:$A$54,$D$2:$D$54,"NO",1,1)),"A","OK","E","OK","OK","OK","NO"),"COMMA")</f>
        <v>OK</v>
      </c>
    </row>
    <row r="38" customFormat="false" ht="13.8" hidden="false" customHeight="false" outlineLevel="0" collapsed="false">
      <c r="A38" s="5" t="n">
        <v>35</v>
      </c>
      <c r="B38" s="6" t="n">
        <v>6</v>
      </c>
      <c r="C38" s="5" t="s">
        <v>54</v>
      </c>
      <c r="D38" s="6"/>
      <c r="E38" s="5"/>
      <c r="G38" s="1" t="str">
        <f aca="false">IF(ISERROR(SEARCH(",",E38,1)),_xlfn.SWITCH(IF(ISBLANK(E38),"OK",_xlfn.XLOOKUP(E38,$A$2:$A$54,$D$2:$D$54,"NO",1,1)),"A","OK","E","OK","OK","OK","NO"),"COMMA")</f>
        <v>OK</v>
      </c>
      <c r="H38" s="1" t="str">
        <f aca="false">IF(ISERROR(SEARCH(",",E38,1)),_xlfn.SWITCH(IF(ISBLANK(E38),"OK",_xlfn.XLOOKUP(E38,$A$2:$A$54,$D$2:$D$54,"NO",1,1)),"A","OK","E","OK","OK","OK","NO"),"COMMA")</f>
        <v>OK</v>
      </c>
    </row>
    <row r="39" customFormat="false" ht="13.8" hidden="false" customHeight="false" outlineLevel="0" collapsed="false">
      <c r="A39" s="7" t="n">
        <v>36</v>
      </c>
      <c r="B39" s="8" t="n">
        <v>6</v>
      </c>
      <c r="C39" s="7" t="s">
        <v>55</v>
      </c>
      <c r="D39" s="8"/>
      <c r="E39" s="7"/>
      <c r="G39" s="1" t="str">
        <f aca="false">IF(ISERROR(SEARCH(",",E39,1)),_xlfn.SWITCH(IF(ISBLANK(E39),"OK",_xlfn.XLOOKUP(E39,$A$2:$A$54,$D$2:$D$54,"NO",1,1)),"A","OK","E","OK","OK","OK","NO"),"COMMA")</f>
        <v>OK</v>
      </c>
      <c r="H39" s="1" t="str">
        <f aca="false">IF(ISERROR(SEARCH(",",E39,1)),_xlfn.SWITCH(IF(ISBLANK(E39),"OK",_xlfn.XLOOKUP(E39,$A$2:$A$54,$D$2:$D$54,"NO",1,1)),"A","OK","E","OK","OK","OK","NO"),"COMMA")</f>
        <v>OK</v>
      </c>
      <c r="K39" s="15"/>
    </row>
    <row r="40" customFormat="false" ht="13.8" hidden="false" customHeight="false" outlineLevel="0" collapsed="false">
      <c r="A40" s="5" t="n">
        <v>37</v>
      </c>
      <c r="B40" s="6" t="n">
        <v>6</v>
      </c>
      <c r="C40" s="5" t="s">
        <v>56</v>
      </c>
      <c r="D40" s="6"/>
      <c r="E40" s="5" t="s">
        <v>57</v>
      </c>
      <c r="G40" s="1" t="str">
        <f aca="false">IF(AND(D19="A",D26="A",D32="A"),"OK","NO")</f>
        <v>NO</v>
      </c>
      <c r="H40" s="1" t="str">
        <f aca="false">IF(ISERROR(SEARCH(",",E40,1)),_xlfn.SWITCH(IF(ISBLANK(E40),"OK",_xlfn.XLOOKUP(E40,$A$2:$A$54,$D$2:$D$54,"NO",1,1)),"A","OK","E","OK","OK","OK","NO"),"COMMA")</f>
        <v>COMMA</v>
      </c>
    </row>
    <row r="41" customFormat="false" ht="13.8" hidden="false" customHeight="false" outlineLevel="0" collapsed="false">
      <c r="A41" s="7" t="n">
        <v>38</v>
      </c>
      <c r="B41" s="8" t="n">
        <v>7</v>
      </c>
      <c r="C41" s="7" t="s">
        <v>58</v>
      </c>
      <c r="D41" s="8"/>
      <c r="E41" s="7"/>
      <c r="G41" s="1" t="str">
        <f aca="false">IF(ISERROR(SEARCH(",",E41,1)),_xlfn.SWITCH(IF(ISBLANK(E41),"OK",_xlfn.XLOOKUP(E41,$A$2:$A$54,$D$2:$D$54,"NO",1,1)),"A","OK","E","OK","OK","OK","NO"),"COMMA")</f>
        <v>OK</v>
      </c>
      <c r="H41" s="1" t="str">
        <f aca="false">IF(ISERROR(SEARCH(",",E41,1)),_xlfn.SWITCH(IF(ISBLANK(E41),"OK",_xlfn.XLOOKUP(E41,$A$2:$A$54,$D$2:$D$54,"NO",1,1)),"A","OK","E","OK","OK","OK","NO"),"COMMA")</f>
        <v>OK</v>
      </c>
      <c r="K41" s="15"/>
    </row>
    <row r="42" customFormat="false" ht="13.8" hidden="false" customHeight="false" outlineLevel="0" collapsed="false">
      <c r="A42" s="5" t="n">
        <v>39</v>
      </c>
      <c r="B42" s="6" t="n">
        <v>7</v>
      </c>
      <c r="C42" s="5" t="s">
        <v>59</v>
      </c>
      <c r="D42" s="6"/>
      <c r="E42" s="5" t="s">
        <v>60</v>
      </c>
      <c r="G42" s="1" t="str">
        <f aca="false">IF(AND(D26="A",D29="A"),"OK","NO")</f>
        <v>NO</v>
      </c>
      <c r="H42" s="1" t="str">
        <f aca="false">IF(ISERROR(SEARCH(",",E42,1)),_xlfn.SWITCH(IF(ISBLANK(E42),"OK",_xlfn.XLOOKUP(E42,$A$2:$A$54,$D$2:$D$54,"NO",1,1)),"A","OK","E","OK","OK","OK","NO"),"COMMA")</f>
        <v>COMMA</v>
      </c>
    </row>
    <row r="43" customFormat="false" ht="13.8" hidden="false" customHeight="false" outlineLevel="0" collapsed="false">
      <c r="A43" s="7" t="n">
        <v>40</v>
      </c>
      <c r="B43" s="8" t="n">
        <v>7</v>
      </c>
      <c r="C43" s="7" t="s">
        <v>61</v>
      </c>
      <c r="D43" s="8"/>
      <c r="E43" s="7"/>
      <c r="G43" s="1" t="str">
        <f aca="false">IF(ISERROR(SEARCH(",",E43,1)),_xlfn.SWITCH(IF(ISBLANK(E43),"OK",_xlfn.XLOOKUP(E43,$A$2:$A$54,$D$2:$D$54,"NO",1,1)),"A","OK","E","OK","OK","OK","NO"),"COMMA")</f>
        <v>OK</v>
      </c>
      <c r="H43" s="1" t="str">
        <f aca="false">IF(ISERROR(SEARCH(",",E43,1)),_xlfn.SWITCH(IF(ISBLANK(E43),"OK",_xlfn.XLOOKUP(E43,$A$2:$A$54,$D$2:$D$54,"NO",1,1)),"A","OK","E","OK","OK","OK","NO"),"COMMA")</f>
        <v>OK</v>
      </c>
      <c r="K43" s="15"/>
    </row>
    <row r="44" customFormat="false" ht="13.8" hidden="false" customHeight="false" outlineLevel="0" collapsed="false">
      <c r="A44" s="5" t="n">
        <v>41</v>
      </c>
      <c r="B44" s="6" t="n">
        <v>7</v>
      </c>
      <c r="C44" s="5" t="s">
        <v>62</v>
      </c>
      <c r="D44" s="6"/>
      <c r="E44" s="5" t="n">
        <v>16</v>
      </c>
      <c r="G44" s="1" t="str">
        <f aca="false">IF(ISERROR(SEARCH(",",E44,1)),_xlfn.SWITCH(IF(ISBLANK(E44),"OK",_xlfn.XLOOKUP(E44,$A$2:$A$54,$D$2:$D$54,"NO",1,1)),"A","OK","E","OK","OK","OK","NO"),"COMMA")</f>
        <v>NO</v>
      </c>
      <c r="H44" s="1" t="str">
        <f aca="false">IF(ISERROR(SEARCH(",",E44,1)),_xlfn.SWITCH(IF(ISBLANK(E44),"OK",_xlfn.XLOOKUP(E44,$A$2:$A$54,$D$2:$D$54,"NO",1,1)),"A","OK","E","OK","OK","OK","NO"),"COMMA")</f>
        <v>NO</v>
      </c>
    </row>
    <row r="45" customFormat="false" ht="13.8" hidden="false" customHeight="false" outlineLevel="0" collapsed="false">
      <c r="A45" s="7" t="n">
        <v>42</v>
      </c>
      <c r="B45" s="8" t="n">
        <v>7</v>
      </c>
      <c r="C45" s="7" t="s">
        <v>63</v>
      </c>
      <c r="D45" s="8"/>
      <c r="E45" s="7"/>
      <c r="G45" s="1" t="str">
        <f aca="false">IF(ISERROR(SEARCH(",",E45,1)),_xlfn.SWITCH(IF(ISBLANK(E45),"OK",_xlfn.XLOOKUP(E45,$A$2:$A$54,$D$2:$D$54,"NO",1,1)),"A","OK","E","OK","OK","OK","NO"),"COMMA")</f>
        <v>OK</v>
      </c>
      <c r="H45" s="1" t="str">
        <f aca="false">IF(ISERROR(SEARCH(",",E45,1)),_xlfn.SWITCH(IF(ISBLANK(E45),"OK",_xlfn.XLOOKUP(E45,$A$2:$A$54,$D$2:$D$54,"NO",1,1)),"A","OK","E","OK","OK","OK","NO"),"COMMA")</f>
        <v>OK</v>
      </c>
      <c r="K45" s="15"/>
    </row>
    <row r="46" customFormat="false" ht="13.8" hidden="false" customHeight="false" outlineLevel="0" collapsed="false">
      <c r="A46" s="5" t="n">
        <v>43</v>
      </c>
      <c r="B46" s="6" t="n">
        <v>7</v>
      </c>
      <c r="C46" s="5" t="s">
        <v>64</v>
      </c>
      <c r="D46" s="6"/>
      <c r="E46" s="5" t="n">
        <v>37</v>
      </c>
      <c r="G46" s="1" t="str">
        <f aca="false">IF(ISERROR(SEARCH(",",E46,1)),_xlfn.SWITCH(IF(ISBLANK(E46),"OK",_xlfn.XLOOKUP(E46,$A$2:$A$54,$D$2:$D$54,"NO",1,1)),"A","OK","E","OK","OK","OK","NO"),"COMMA")</f>
        <v>NO</v>
      </c>
      <c r="H46" s="1" t="str">
        <f aca="false">IF(ISERROR(SEARCH(",",E46,1)),_xlfn.SWITCH(IF(ISBLANK(E46),"OK",_xlfn.XLOOKUP(E46,$A$2:$A$54,$D$2:$D$54,"NO",1,1)),"A","OK","E","OK","OK","OK","NO"),"COMMA")</f>
        <v>NO</v>
      </c>
      <c r="K46" s="15"/>
    </row>
    <row r="47" customFormat="false" ht="13.8" hidden="false" customHeight="false" outlineLevel="0" collapsed="false">
      <c r="A47" s="7" t="n">
        <v>44</v>
      </c>
      <c r="B47" s="8" t="n">
        <v>8</v>
      </c>
      <c r="C47" s="7" t="s">
        <v>65</v>
      </c>
      <c r="D47" s="8"/>
      <c r="E47" s="7" t="n">
        <v>26</v>
      </c>
      <c r="G47" s="1" t="str">
        <f aca="false">IF(ISERROR(SEARCH(",",E47,1)),_xlfn.SWITCH(IF(ISBLANK(E47),"OK",_xlfn.XLOOKUP(E47,$A$2:$A$54,$D$2:$D$54,"NO",1,1)),"A","OK","E","OK","OK","OK","NO"),"COMMA")</f>
        <v>NO</v>
      </c>
      <c r="H47" s="1" t="str">
        <f aca="false">IF(ISERROR(SEARCH(",",E47,1)),_xlfn.SWITCH(IF(ISBLANK(E47),"OK",_xlfn.XLOOKUP(E47,$A$2:$A$54,$D$2:$D$54,"NO",1,1)),"A","OK","E","OK","OK","OK","NO"),"COMMA")</f>
        <v>NO</v>
      </c>
    </row>
    <row r="48" customFormat="false" ht="13.8" hidden="false" customHeight="false" outlineLevel="0" collapsed="false">
      <c r="A48" s="5" t="n">
        <v>45</v>
      </c>
      <c r="B48" s="6" t="n">
        <v>8</v>
      </c>
      <c r="C48" s="5" t="s">
        <v>66</v>
      </c>
      <c r="D48" s="6"/>
      <c r="E48" s="5"/>
      <c r="G48" s="1" t="str">
        <f aca="false">IF(ISERROR(SEARCH(",",E48,1)),_xlfn.SWITCH(IF(ISBLANK(E48),"OK",_xlfn.XLOOKUP(E48,$A$2:$A$54,$D$2:$D$54,"NO",1,1)),"A","OK","E","OK","OK","OK","NO"),"COMMA")</f>
        <v>OK</v>
      </c>
      <c r="H48" s="1" t="str">
        <f aca="false">IF(ISERROR(SEARCH(",",E48,1)),_xlfn.SWITCH(IF(ISBLANK(E48),"OK",_xlfn.XLOOKUP(E48,$A$2:$A$54,$D$2:$D$54,"NO",1,1)),"A","OK","E","OK","OK","OK","NO"),"COMMA")</f>
        <v>OK</v>
      </c>
      <c r="K48" s="15"/>
    </row>
    <row r="49" customFormat="false" ht="13.8" hidden="false" customHeight="false" outlineLevel="0" collapsed="false">
      <c r="A49" s="7" t="n">
        <v>46</v>
      </c>
      <c r="B49" s="8" t="n">
        <v>8</v>
      </c>
      <c r="C49" s="7" t="s">
        <v>67</v>
      </c>
      <c r="D49" s="8"/>
      <c r="E49" s="7" t="s">
        <v>60</v>
      </c>
      <c r="G49" s="1" t="str">
        <f aca="false">IF(AND(D26="A",D29="A"),"OK","NO")</f>
        <v>NO</v>
      </c>
      <c r="H49" s="1" t="str">
        <f aca="false">IF(ISERROR(SEARCH(",",E49,1)),_xlfn.SWITCH(IF(ISBLANK(E49),"OK",_xlfn.XLOOKUP(E49,$A$2:$A$54,$D$2:$D$54,"NO",1,1)),"A","OK","E","OK","OK","OK","NO"),"COMMA")</f>
        <v>COMMA</v>
      </c>
    </row>
    <row r="50" customFormat="false" ht="13.8" hidden="false" customHeight="false" outlineLevel="0" collapsed="false">
      <c r="A50" s="5" t="n">
        <v>47</v>
      </c>
      <c r="B50" s="6" t="n">
        <v>8</v>
      </c>
      <c r="C50" s="5" t="s">
        <v>68</v>
      </c>
      <c r="D50" s="6"/>
      <c r="E50" s="5"/>
      <c r="G50" s="1" t="str">
        <f aca="false">IF(ISERROR(SEARCH(",",E50,1)),_xlfn.SWITCH(IF(ISBLANK(E50),"OK",_xlfn.XLOOKUP(E50,$A$2:$A$54,$D$2:$D$54,"NO",1,1)),"A","OK","E","OK","OK","OK","NO"),"COMMA")</f>
        <v>OK</v>
      </c>
      <c r="H50" s="1" t="str">
        <f aca="false">IF(ISERROR(SEARCH(",",E50,1)),_xlfn.SWITCH(IF(ISBLANK(E50),"OK",_xlfn.XLOOKUP(E50,$A$2:$A$54,$D$2:$D$54,"NO",1,1)),"A","OK","E","OK","OK","OK","NO"),"COMMA")</f>
        <v>OK</v>
      </c>
    </row>
    <row r="51" customFormat="false" ht="13.8" hidden="false" customHeight="false" outlineLevel="0" collapsed="false">
      <c r="A51" s="7" t="n">
        <v>48</v>
      </c>
      <c r="B51" s="8" t="n">
        <v>8</v>
      </c>
      <c r="C51" s="7" t="s">
        <v>69</v>
      </c>
      <c r="D51" s="8"/>
      <c r="E51" s="7"/>
      <c r="G51" s="1" t="str">
        <f aca="false">IF(ISERROR(SEARCH(",",E51,1)),_xlfn.SWITCH(IF(ISBLANK(E51),"OK",_xlfn.XLOOKUP(E51,$A$2:$A$54,$D$2:$D$54,"NO",1,1)),"A","OK","E","OK","OK","OK","NO"),"COMMA")</f>
        <v>OK</v>
      </c>
      <c r="H51" s="1" t="str">
        <f aca="false">IF(ISERROR(SEARCH(",",E51,1)),_xlfn.SWITCH(IF(ISBLANK(E51),"OK",_xlfn.XLOOKUP(E51,$A$2:$A$54,$D$2:$D$54,"NO",1,1)),"A","OK","E","OK","OK","OK","NO"),"COMMA")</f>
        <v>OK</v>
      </c>
      <c r="K51" s="15"/>
    </row>
    <row r="52" customFormat="false" ht="13.8" hidden="false" customHeight="false" outlineLevel="0" collapsed="false">
      <c r="A52" s="5" t="n">
        <v>49</v>
      </c>
      <c r="B52" s="6" t="n">
        <v>8</v>
      </c>
      <c r="C52" s="5" t="s">
        <v>70</v>
      </c>
      <c r="D52" s="6"/>
      <c r="E52" s="5" t="s">
        <v>71</v>
      </c>
      <c r="G52" s="1" t="str">
        <f aca="false">IF(AND(D40="A",D46="A"),"OK","NO")</f>
        <v>NO</v>
      </c>
      <c r="H52" s="1" t="str">
        <f aca="false">IF(ISERROR(SEARCH(",",E52,1)),_xlfn.SWITCH(IF(ISBLANK(E52),"OK",_xlfn.XLOOKUP(E52,$A$2:$A$54,$D$2:$D$54,"NO",1,1)),"A","OK","E","OK","OK","OK","NO"),"COMMA")</f>
        <v>COMMA</v>
      </c>
    </row>
    <row r="53" customFormat="false" ht="13.8" hidden="false" customHeight="false" outlineLevel="0" collapsed="false">
      <c r="A53" s="7" t="n">
        <v>50</v>
      </c>
      <c r="B53" s="8" t="n">
        <v>11</v>
      </c>
      <c r="C53" s="7" t="s">
        <v>72</v>
      </c>
      <c r="D53" s="8"/>
      <c r="E53" s="7"/>
      <c r="G53" s="1" t="str">
        <f aca="false">IF(ISERROR(SEARCH(",",E53,1)),_xlfn.SWITCH(IF(ISBLANK(E53),"OK",_xlfn.XLOOKUP(E53,$A$2:$A$54,$D$2:$D$54,"NO",1,1)),"A","OK","E","OK","OK","OK","NO"),"COMMA")</f>
        <v>OK</v>
      </c>
      <c r="H53" s="1" t="str">
        <f aca="false">IF(ISERROR(SEARCH(",",E53,1)),_xlfn.SWITCH(IF(ISBLANK(E53),"OK",_xlfn.XLOOKUP(E53,$A$2:$A$54,$D$2:$D$54,"NO",1,1)),"A","OK","E","OK","OK","OK","NO"),"COMMA")</f>
        <v>OK</v>
      </c>
    </row>
    <row r="54" customFormat="false" ht="13.8" hidden="false" customHeight="false" outlineLevel="0" collapsed="false">
      <c r="A54" s="5" t="n">
        <v>51</v>
      </c>
      <c r="B54" s="6" t="n">
        <v>11</v>
      </c>
      <c r="C54" s="5" t="s">
        <v>73</v>
      </c>
      <c r="D54" s="6"/>
      <c r="E54" s="5"/>
      <c r="G54" s="1" t="str">
        <f aca="false">IF(ISERROR(SEARCH(",",E54,1)),_xlfn.SWITCH(IF(ISBLANK(E54),"OK",_xlfn.XLOOKUP(E54,$A$2:$A$54,$D$2:$D$54,"NO",1,1)),"A","OK","E","OK","OK","OK","NO"),"COMMA")</f>
        <v>OK</v>
      </c>
      <c r="H54" s="1" t="str">
        <f aca="false">IF(ISERROR(SEARCH(",",E54,1)),_xlfn.SWITCH(IF(ISBLANK(E54),"OK",_xlfn.XLOOKUP(E54,$A$2:$A$54,$D$2:$D$54,"NO",1,1)),"A","OK","E","OK","OK","OK","NO"),"COMMA")</f>
        <v>OK</v>
      </c>
    </row>
  </sheetData>
  <autoFilter ref="A1:E54"/>
  <conditionalFormatting sqref="D2:D54">
    <cfRule type="cellIs" priority="2" operator="equal" aboveAverage="0" equalAverage="0" bottom="0" percent="0" rank="0" text="" dxfId="5">
      <formula>"A"</formula>
    </cfRule>
    <cfRule type="cellIs" priority="3" operator="equal" aboveAverage="0" equalAverage="0" bottom="0" percent="0" rank="0" text="" dxfId="6">
      <formula>"E"</formula>
    </cfRule>
    <cfRule type="cellIs" priority="4" operator="equal" aboveAverage="0" equalAverage="0" bottom="0" percent="0" rank="0" text="" dxfId="7">
      <formula>"C"</formula>
    </cfRule>
  </conditionalFormatting>
  <conditionalFormatting sqref="E2:E54">
    <cfRule type="cellIs" priority="5" operator="equal" aboveAverage="0" equalAverage="0" bottom="0" percent="0" rank="0" text="" dxfId="8">
      <formula>0</formula>
    </cfRule>
    <cfRule type="expression" priority="6" aboveAverage="0" equalAverage="0" bottom="0" percent="0" rank="0" text="" dxfId="9">
      <formula>G2="OK"</formula>
    </cfRule>
    <cfRule type="cellIs" priority="7" operator="notEqual" aboveAverage="0" equalAverage="0" bottom="0" percent="0" rank="0" text="" dxfId="10">
      <formula>""</formula>
    </cfRule>
  </conditionalFormatting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&amp;C_x005F_x000D_x000D_&amp;1#&amp;10 Internal</oddFooter>
  </headerFooter>
  <drawing r:id="rId2"/>
  <legacyDrawing r:id="rId3"/>
</worksheet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19857</TotalTime>
  <Application>LibreOffice/25.2.5.2$Linux_X86_64 LibreOffice_project/03d19516eb2e1dd5d4ccd751a0d6f35f35e08022</Application>
  <AppVersion>15.0000</AppVersion>
  <Company>BASF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2025-05-09T12:44:38Z</dcterms:created>
  <dc:creator>maximiliano-maria.lafosse@basf.com</dc:creator>
  <dc:description/>
  <dc:language>en-US</dc:language>
  <cp:lastModifiedBy/>
  <dcterms:modified xsi:type="dcterms:W3CDTF">2026-07-09T22:59:35Z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